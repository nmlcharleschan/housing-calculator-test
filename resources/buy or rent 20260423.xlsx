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/wh9KdPrtQ3JWko3UMhSuWvBdiMxhB9UYp0DR1eHWM="/>
    </ext>
  </extLst>
</workbook>
</file>

<file path=xl/sharedStrings.xml><?xml version="1.0" encoding="utf-8"?>
<sst xmlns="http://schemas.openxmlformats.org/spreadsheetml/2006/main" count="54" uniqueCount="45">
  <si>
    <t>Assumptions on buying/renting</t>
  </si>
  <si>
    <t>Scenario 1</t>
  </si>
  <si>
    <t>Scenario 2</t>
  </si>
  <si>
    <t>Current investment portfolio net worth</t>
  </si>
  <si>
    <t>Investment annual return</t>
  </si>
  <si>
    <t>Time horizon (years)</t>
  </si>
  <si>
    <t>Property cost</t>
  </si>
  <si>
    <t>Property age</t>
  </si>
  <si>
    <t>0-20</t>
  </si>
  <si>
    <t>20-30</t>
  </si>
  <si>
    <t>Property appreciation</t>
  </si>
  <si>
    <t>Agency Commission (upfront and selling)</t>
  </si>
  <si>
    <t>Upfront Stamp duty</t>
  </si>
  <si>
    <t>at current Hong Kong rate</t>
  </si>
  <si>
    <t>Upfront renovation</t>
  </si>
  <si>
    <t>Annual Government rents and rates</t>
  </si>
  <si>
    <t>Annual building management fees</t>
  </si>
  <si>
    <t>Annual maintenance if purchase</t>
  </si>
  <si>
    <t>Renovation frequency (years)</t>
  </si>
  <si>
    <t>Renovation cost</t>
  </si>
  <si>
    <t>5% of property cost</t>
  </si>
  <si>
    <t>Current rent</t>
  </si>
  <si>
    <t>Rent inflation</t>
  </si>
  <si>
    <t>Moving cost</t>
  </si>
  <si>
    <t>2 months rent</t>
  </si>
  <si>
    <t>Moving frequency (years)</t>
  </si>
  <si>
    <t>5</t>
  </si>
  <si>
    <t>Rent commission per move</t>
  </si>
  <si>
    <t>1 month</t>
  </si>
  <si>
    <t>Mortgage down payment</t>
  </si>
  <si>
    <t>20% of property cost</t>
  </si>
  <si>
    <t>Down payment source</t>
  </si>
  <si>
    <t>From portfolio</t>
  </si>
  <si>
    <t>Mortgage interest rate</t>
  </si>
  <si>
    <t>Mortgage duration (years)</t>
  </si>
  <si>
    <t>Mortgage repayment frequency</t>
  </si>
  <si>
    <t>Monthly</t>
  </si>
  <si>
    <t>Monthly income</t>
  </si>
  <si>
    <t>Monthly expense excluding rent</t>
  </si>
  <si>
    <t>Rest of income</t>
  </si>
  <si>
    <t>into portfolio</t>
  </si>
  <si>
    <t>All other income and costs inflation</t>
  </si>
  <si>
    <t>Other considerations</t>
  </si>
  <si>
    <t>Freedom of renovation and design</t>
  </si>
  <si>
    <t>Stability vs flexibility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</si>
</sst>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0.0%"/>
    <numFmt numFmtId="166" formatCode="0.00_);[Red]\(0.00\)"/>
  </numFmts>
  <fonts count="3">
    <font>
      <sz val="11.0"/>
      <color theme="1"/>
      <name val="PMingLiu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horizontal="right" vertical="center"/>
    </xf>
    <xf borderId="0" fillId="0" fontId="2" numFmtId="0" xfId="0" applyAlignment="1" applyFont="1">
      <alignment vertical="center"/>
    </xf>
    <xf borderId="0" fillId="0" fontId="2" numFmtId="164" xfId="0" applyAlignment="1" applyFont="1" applyNumberFormat="1">
      <alignment horizontal="right" readingOrder="0" vertical="center"/>
    </xf>
    <xf borderId="0" fillId="0" fontId="2" numFmtId="164" xfId="0" applyAlignment="1" applyFont="1" applyNumberFormat="1">
      <alignment horizontal="right" vertical="center"/>
    </xf>
    <xf borderId="0" fillId="0" fontId="2" numFmtId="9" xfId="0" applyAlignment="1" applyFont="1" applyNumberFormat="1">
      <alignment horizontal="right" vertical="center"/>
    </xf>
    <xf borderId="0" fillId="0" fontId="2" numFmtId="165" xfId="0" applyAlignment="1" applyFont="1" applyNumberFormat="1">
      <alignment horizontal="right" vertical="center"/>
    </xf>
    <xf borderId="0" fillId="0" fontId="2" numFmtId="10" xfId="0" applyAlignment="1" applyFont="1" applyNumberFormat="1">
      <alignment horizontal="right" vertical="center"/>
    </xf>
    <xf borderId="0" fillId="0" fontId="2" numFmtId="49" xfId="0" applyAlignment="1" applyFont="1" applyNumberFormat="1">
      <alignment horizontal="right" vertical="center"/>
    </xf>
    <xf borderId="0" fillId="0" fontId="2" numFmtId="166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PMingLiu"/>
        <a:ea typeface="PMingLiu"/>
        <a:cs typeface="PMingLiu"/>
      </a:majorFont>
      <a:minorFont>
        <a:latin typeface="PMingLiu"/>
        <a:ea typeface="PMingLiu"/>
        <a:cs typeface="PMingLiu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9.5"/>
    <col customWidth="1" min="2" max="3" width="26.25"/>
    <col customWidth="1" min="4" max="6" width="8.75"/>
    <col customWidth="1" min="7" max="26" width="8.63"/>
  </cols>
  <sheetData>
    <row r="1" ht="14.25" customHeight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2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3" t="s">
        <v>3</v>
      </c>
      <c r="B3" s="4">
        <v>5500000.0</v>
      </c>
      <c r="C3" s="5">
        <v>6000000.0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3" t="s">
        <v>4</v>
      </c>
      <c r="B4" s="6">
        <v>0.08</v>
      </c>
      <c r="C4" s="6">
        <v>0.08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3"/>
      <c r="B5" s="2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" t="s">
        <v>5</v>
      </c>
      <c r="B6" s="2">
        <v>30.0</v>
      </c>
      <c r="C6" s="2">
        <v>30.0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"/>
      <c r="B7" s="2"/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" t="s">
        <v>6</v>
      </c>
      <c r="B8" s="5">
        <v>7000000.0</v>
      </c>
      <c r="C8" s="5">
        <v>6000000.0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" t="s">
        <v>7</v>
      </c>
      <c r="B9" s="5" t="s">
        <v>8</v>
      </c>
      <c r="C9" s="5" t="s">
        <v>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" t="s">
        <v>10</v>
      </c>
      <c r="B10" s="7">
        <f t="shared" ref="B10:C10" si="1">IF(B$9="0-20",2%,IF(B$9="20-30",1.5%,1%))</f>
        <v>0.02</v>
      </c>
      <c r="C10" s="7">
        <f t="shared" si="1"/>
        <v>0.015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" t="s">
        <v>11</v>
      </c>
      <c r="B11" s="6">
        <v>0.01</v>
      </c>
      <c r="C11" s="6">
        <v>0.01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" t="s">
        <v>12</v>
      </c>
      <c r="B12" s="2" t="s">
        <v>13</v>
      </c>
      <c r="C12" s="2" t="s">
        <v>13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" t="s">
        <v>14</v>
      </c>
      <c r="B13" s="7" t="str">
        <f t="shared" ref="B13:C13" si="2">IF(B$9="0-20","5% of property cost",IF(B$9="20-30","7.5% of property cost","10% of property cost"))</f>
        <v>5% of property cost</v>
      </c>
      <c r="C13" s="7" t="str">
        <f t="shared" si="2"/>
        <v>7.5% of property cost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 t="s">
        <v>15</v>
      </c>
      <c r="B14" s="5">
        <v>15000.0</v>
      </c>
      <c r="C14" s="5">
        <v>15000.0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 t="s">
        <v>16</v>
      </c>
      <c r="B15" s="5">
        <f t="shared" ref="B15:C15" si="3">IF(B$9="0-20",20000,IF(B$9="20-30",18000,15000))</f>
        <v>20000</v>
      </c>
      <c r="C15" s="5">
        <f t="shared" si="3"/>
        <v>18000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2"/>
      <c r="C16" s="2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 t="s">
        <v>17</v>
      </c>
      <c r="B17" s="7">
        <f t="shared" ref="B17:C17" si="4">IF(B$9="0-20",0.5%,IF(B$9="20-30",0.8%,1.2%))</f>
        <v>0.005</v>
      </c>
      <c r="C17" s="7">
        <f t="shared" si="4"/>
        <v>0.008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 t="s">
        <v>18</v>
      </c>
      <c r="B18" s="5">
        <v>15.0</v>
      </c>
      <c r="C18" s="5">
        <v>15.0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 t="s">
        <v>19</v>
      </c>
      <c r="B19" s="2" t="s">
        <v>20</v>
      </c>
      <c r="C19" s="2" t="s">
        <v>20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8"/>
      <c r="C20" s="8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 t="s">
        <v>21</v>
      </c>
      <c r="B21" s="5">
        <v>23000.0</v>
      </c>
      <c r="C21" s="5">
        <v>20000.0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 t="s">
        <v>22</v>
      </c>
      <c r="B22" s="6">
        <v>0.04</v>
      </c>
      <c r="C22" s="6">
        <v>0.04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 t="s">
        <v>23</v>
      </c>
      <c r="B23" s="5" t="s">
        <v>24</v>
      </c>
      <c r="C23" s="5" t="s">
        <v>24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 t="s">
        <v>25</v>
      </c>
      <c r="B24" s="9" t="s">
        <v>26</v>
      </c>
      <c r="C24" s="9" t="s">
        <v>26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 t="s">
        <v>27</v>
      </c>
      <c r="B25" s="9" t="s">
        <v>28</v>
      </c>
      <c r="C25" s="9" t="s">
        <v>28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2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 t="s">
        <v>29</v>
      </c>
      <c r="B27" s="2" t="s">
        <v>30</v>
      </c>
      <c r="C27" s="2" t="s">
        <v>30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 t="s">
        <v>31</v>
      </c>
      <c r="B28" s="2" t="s">
        <v>32</v>
      </c>
      <c r="C28" s="2" t="s">
        <v>32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 t="s">
        <v>33</v>
      </c>
      <c r="B29" s="8">
        <v>0.035</v>
      </c>
      <c r="C29" s="8">
        <v>0.035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 t="s">
        <v>34</v>
      </c>
      <c r="B30" s="2">
        <v>30.0</v>
      </c>
      <c r="C30" s="2">
        <v>30.0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 t="s">
        <v>35</v>
      </c>
      <c r="B31" s="2" t="s">
        <v>36</v>
      </c>
      <c r="C31" s="2" t="s">
        <v>36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2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 t="s">
        <v>37</v>
      </c>
      <c r="B33" s="5">
        <v>85000.0</v>
      </c>
      <c r="C33" s="5">
        <v>85000.0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 t="s">
        <v>38</v>
      </c>
      <c r="B34" s="5">
        <v>50000.0</v>
      </c>
      <c r="C34" s="5">
        <v>50000.0</v>
      </c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 t="s">
        <v>39</v>
      </c>
      <c r="B35" s="2" t="s">
        <v>40</v>
      </c>
      <c r="C35" s="2" t="s">
        <v>40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2"/>
      <c r="C36" s="2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 t="s">
        <v>41</v>
      </c>
      <c r="B37" s="6">
        <v>0.02</v>
      </c>
      <c r="C37" s="6">
        <v>0.02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10"/>
      <c r="C38" s="2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2"/>
      <c r="C39" s="2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2"/>
      <c r="C40" s="2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2"/>
      <c r="C41" s="2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" t="s">
        <v>42</v>
      </c>
      <c r="B42" s="2"/>
      <c r="C42" s="2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 t="s">
        <v>43</v>
      </c>
      <c r="B43" s="2"/>
      <c r="C43" s="2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 t="s">
        <v>44</v>
      </c>
      <c r="B44" s="2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2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2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2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2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2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2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2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2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2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2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2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2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2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2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2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2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2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2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2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2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2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2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2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2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2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2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2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2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2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2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2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2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2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2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2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2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2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2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2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2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2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2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2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2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2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2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2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2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2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2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2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2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2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2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2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2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2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2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2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2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2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2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2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2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2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2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2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2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2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2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2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2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2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2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2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2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2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2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2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2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2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2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2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2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2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2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2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2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2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2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2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2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2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2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2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2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2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2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2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2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2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2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2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2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2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2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2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2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2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2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2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2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2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2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2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2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2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2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2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2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2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2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2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2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2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2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2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2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2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2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2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2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2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2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2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2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2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2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2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2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2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2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2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2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2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2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2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2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2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2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2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2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2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2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2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2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2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2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2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2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2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2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2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2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2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2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2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2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2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2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2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2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2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2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2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2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2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2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2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2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2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2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2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2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2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2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2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2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2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2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2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2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2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2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2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2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2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2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2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2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2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2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2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2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2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2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2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2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2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2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2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2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2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2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2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2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2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2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2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2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2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2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2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2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2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2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2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2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2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2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2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2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2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2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2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2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2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2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2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2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2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2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2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2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2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2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2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2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2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2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2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2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2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2"/>
      <c r="C298" s="2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2"/>
      <c r="C299" s="2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2"/>
      <c r="C300" s="2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2"/>
      <c r="C301" s="2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2"/>
      <c r="C302" s="2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2"/>
      <c r="C303" s="2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2"/>
      <c r="C304" s="2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2"/>
      <c r="C305" s="2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2"/>
      <c r="C306" s="2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2"/>
      <c r="C307" s="2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2"/>
      <c r="C308" s="2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2"/>
      <c r="C309" s="2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2"/>
      <c r="C310" s="2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2"/>
      <c r="C311" s="2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2"/>
      <c r="C312" s="2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2"/>
      <c r="C313" s="2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2"/>
      <c r="C314" s="2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2"/>
      <c r="C315" s="2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2"/>
      <c r="C316" s="2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2"/>
      <c r="C317" s="2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2"/>
      <c r="C318" s="2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2"/>
      <c r="C319" s="2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2"/>
      <c r="C320" s="2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2"/>
      <c r="C321" s="2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2"/>
      <c r="C322" s="2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2"/>
      <c r="C323" s="2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2"/>
      <c r="C324" s="2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2"/>
      <c r="C325" s="2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2"/>
      <c r="C326" s="2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2"/>
      <c r="C327" s="2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2"/>
      <c r="C328" s="2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2"/>
      <c r="C329" s="2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2"/>
      <c r="C330" s="2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2"/>
      <c r="C331" s="2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2"/>
      <c r="C332" s="2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2"/>
      <c r="C333" s="2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2"/>
      <c r="C334" s="2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2"/>
      <c r="C335" s="2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2"/>
      <c r="C336" s="2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2"/>
      <c r="C337" s="2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2"/>
      <c r="C338" s="2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2"/>
      <c r="C339" s="2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2"/>
      <c r="C340" s="2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2"/>
      <c r="C341" s="2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2"/>
      <c r="C342" s="2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2"/>
      <c r="C343" s="2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2"/>
      <c r="C344" s="2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2"/>
      <c r="C345" s="2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2"/>
      <c r="C346" s="2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2"/>
      <c r="C347" s="2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2"/>
      <c r="C348" s="2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2"/>
      <c r="C349" s="2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2"/>
      <c r="C350" s="2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2"/>
      <c r="C351" s="2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2"/>
      <c r="C352" s="2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2"/>
      <c r="C353" s="2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2"/>
      <c r="C354" s="2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2"/>
      <c r="C355" s="2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2"/>
      <c r="C356" s="2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2"/>
      <c r="C357" s="2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2"/>
      <c r="C358" s="2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2"/>
      <c r="C359" s="2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2"/>
      <c r="C360" s="2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2"/>
      <c r="C361" s="2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2"/>
      <c r="C362" s="2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2"/>
      <c r="C363" s="2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2"/>
      <c r="C364" s="2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2"/>
      <c r="C365" s="2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2"/>
      <c r="C366" s="2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2"/>
      <c r="C367" s="2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2"/>
      <c r="C368" s="2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2"/>
      <c r="C369" s="2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2"/>
      <c r="C370" s="2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2"/>
      <c r="C371" s="2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2"/>
      <c r="C372" s="2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2"/>
      <c r="C373" s="2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2"/>
      <c r="C374" s="2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2"/>
      <c r="C375" s="2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2"/>
      <c r="C376" s="2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2"/>
      <c r="C377" s="2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2"/>
      <c r="C378" s="2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2"/>
      <c r="C379" s="2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2"/>
      <c r="C380" s="2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2"/>
      <c r="C381" s="2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2"/>
      <c r="C382" s="2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2"/>
      <c r="C383" s="2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2"/>
      <c r="C384" s="2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2"/>
      <c r="C385" s="2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2"/>
      <c r="C386" s="2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2"/>
      <c r="C387" s="2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2"/>
      <c r="C388" s="2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2"/>
      <c r="C389" s="2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2"/>
      <c r="C390" s="2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2"/>
      <c r="C391" s="2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2"/>
      <c r="C392" s="2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2"/>
      <c r="C393" s="2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2"/>
      <c r="C394" s="2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2"/>
      <c r="C395" s="2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2"/>
      <c r="C396" s="2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2"/>
      <c r="C397" s="2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2"/>
      <c r="C398" s="2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2"/>
      <c r="C399" s="2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2"/>
      <c r="C400" s="2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2"/>
      <c r="C401" s="2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2"/>
      <c r="C402" s="2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2"/>
      <c r="C403" s="2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2"/>
      <c r="C404" s="2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2"/>
      <c r="C405" s="2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2"/>
      <c r="C406" s="2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2"/>
      <c r="C407" s="2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2"/>
      <c r="C408" s="2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2"/>
      <c r="C409" s="2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2"/>
      <c r="C410" s="2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2"/>
      <c r="C411" s="2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2"/>
      <c r="C412" s="2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2"/>
      <c r="C413" s="2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2"/>
      <c r="C414" s="2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2"/>
      <c r="C415" s="2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2"/>
      <c r="C416" s="2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2"/>
      <c r="C417" s="2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2"/>
      <c r="C418" s="2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2"/>
      <c r="C419" s="2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2"/>
      <c r="C420" s="2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2"/>
      <c r="C421" s="2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2"/>
      <c r="C422" s="2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2"/>
      <c r="C423" s="2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2"/>
      <c r="C424" s="2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2"/>
      <c r="C425" s="2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2"/>
      <c r="C426" s="2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2"/>
      <c r="C427" s="2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2"/>
      <c r="C428" s="2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2"/>
      <c r="C429" s="2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2"/>
      <c r="C430" s="2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2"/>
      <c r="C431" s="2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2"/>
      <c r="C432" s="2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2"/>
      <c r="C433" s="2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2"/>
      <c r="C434" s="2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2"/>
      <c r="C435" s="2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2"/>
      <c r="C436" s="2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2"/>
      <c r="C437" s="2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2"/>
      <c r="C438" s="2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2"/>
      <c r="C439" s="2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2"/>
      <c r="C440" s="2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2"/>
      <c r="C441" s="2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2"/>
      <c r="C442" s="2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2"/>
      <c r="C443" s="2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2"/>
      <c r="C444" s="2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2"/>
      <c r="C445" s="2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2"/>
      <c r="C446" s="2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2"/>
      <c r="C447" s="2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2"/>
      <c r="C448" s="2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2"/>
      <c r="C449" s="2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2"/>
      <c r="C450" s="2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2"/>
      <c r="C451" s="2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2"/>
      <c r="C452" s="2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2"/>
      <c r="C453" s="2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2"/>
      <c r="C454" s="2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2"/>
      <c r="C455" s="2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2"/>
      <c r="C456" s="2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2"/>
      <c r="C457" s="2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2"/>
      <c r="C458" s="2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2"/>
      <c r="C459" s="2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2"/>
      <c r="C460" s="2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2"/>
      <c r="C461" s="2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2"/>
      <c r="C462" s="2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2"/>
      <c r="C463" s="2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2"/>
      <c r="C464" s="2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2"/>
      <c r="C465" s="2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2"/>
      <c r="C466" s="2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2"/>
      <c r="C467" s="2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2"/>
      <c r="C468" s="2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2"/>
      <c r="C469" s="2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2"/>
      <c r="C470" s="2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2"/>
      <c r="C471" s="2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2"/>
      <c r="C472" s="2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2"/>
      <c r="C473" s="2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2"/>
      <c r="C474" s="2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2"/>
      <c r="C475" s="2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2"/>
      <c r="C476" s="2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2"/>
      <c r="C477" s="2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2"/>
      <c r="C478" s="2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2"/>
      <c r="C479" s="2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2"/>
      <c r="C480" s="2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2"/>
      <c r="C481" s="2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2"/>
      <c r="C482" s="2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2"/>
      <c r="C483" s="2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2"/>
      <c r="C484" s="2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2"/>
      <c r="C485" s="2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2"/>
      <c r="C486" s="2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2"/>
      <c r="C487" s="2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2"/>
      <c r="C488" s="2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2"/>
      <c r="C489" s="2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2"/>
      <c r="C490" s="2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2"/>
      <c r="C491" s="2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2"/>
      <c r="C492" s="2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2"/>
      <c r="C493" s="2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2"/>
      <c r="C494" s="2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2"/>
      <c r="C495" s="2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2"/>
      <c r="C496" s="2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2"/>
      <c r="C497" s="2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2"/>
      <c r="C498" s="2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2"/>
      <c r="C499" s="2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2"/>
      <c r="C500" s="2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2"/>
      <c r="C501" s="2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2"/>
      <c r="C502" s="2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2"/>
      <c r="C503" s="2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2"/>
      <c r="C504" s="2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2"/>
      <c r="C505" s="2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2"/>
      <c r="C506" s="2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2"/>
      <c r="C507" s="2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2"/>
      <c r="C508" s="2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2"/>
      <c r="C509" s="2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2"/>
      <c r="C510" s="2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2"/>
      <c r="C511" s="2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2"/>
      <c r="C512" s="2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2"/>
      <c r="C513" s="2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2"/>
      <c r="C514" s="2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2"/>
      <c r="C515" s="2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2"/>
      <c r="C516" s="2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2"/>
      <c r="C517" s="2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2"/>
      <c r="C518" s="2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2"/>
      <c r="C519" s="2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2"/>
      <c r="C520" s="2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2"/>
      <c r="C521" s="2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2"/>
      <c r="C522" s="2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2"/>
      <c r="C523" s="2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2"/>
      <c r="C524" s="2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2"/>
      <c r="C525" s="2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2"/>
      <c r="C526" s="2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2"/>
      <c r="C527" s="2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2"/>
      <c r="C528" s="2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2"/>
      <c r="C529" s="2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2"/>
      <c r="C530" s="2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2"/>
      <c r="C531" s="2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2"/>
      <c r="C532" s="2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2"/>
      <c r="C533" s="2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2"/>
      <c r="C534" s="2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2"/>
      <c r="C535" s="2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2"/>
      <c r="C536" s="2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2"/>
      <c r="C537" s="2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2"/>
      <c r="C538" s="2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2"/>
      <c r="C539" s="2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2"/>
      <c r="C540" s="2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2"/>
      <c r="C541" s="2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2"/>
      <c r="C542" s="2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2"/>
      <c r="C543" s="2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2"/>
      <c r="C544" s="2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2"/>
      <c r="C545" s="2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2"/>
      <c r="C546" s="2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2"/>
      <c r="C547" s="2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2"/>
      <c r="C548" s="2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2"/>
      <c r="C549" s="2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2"/>
      <c r="C550" s="2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2"/>
      <c r="C551" s="2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2"/>
      <c r="C552" s="2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2"/>
      <c r="C553" s="2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2"/>
      <c r="C554" s="2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2"/>
      <c r="C555" s="2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2"/>
      <c r="C556" s="2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2"/>
      <c r="C557" s="2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2"/>
      <c r="C558" s="2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2"/>
      <c r="C559" s="2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2"/>
      <c r="C560" s="2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2"/>
      <c r="C561" s="2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2"/>
      <c r="C562" s="2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2"/>
      <c r="C563" s="2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2"/>
      <c r="C564" s="2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2"/>
      <c r="C565" s="2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2"/>
      <c r="C566" s="2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2"/>
      <c r="C567" s="2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2"/>
      <c r="C568" s="2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2"/>
      <c r="C569" s="2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2"/>
      <c r="C570" s="2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2"/>
      <c r="C571" s="2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2"/>
      <c r="C572" s="2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2"/>
      <c r="C573" s="2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2"/>
      <c r="C574" s="2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2"/>
      <c r="C575" s="2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2"/>
      <c r="C576" s="2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2"/>
      <c r="C577" s="2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2"/>
      <c r="C578" s="2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2"/>
      <c r="C579" s="2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2"/>
      <c r="C580" s="2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2"/>
      <c r="C581" s="2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2"/>
      <c r="C582" s="2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2"/>
      <c r="C583" s="2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2"/>
      <c r="C584" s="2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2"/>
      <c r="C585" s="2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2"/>
      <c r="C586" s="2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2"/>
      <c r="C587" s="2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2"/>
      <c r="C588" s="2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2"/>
      <c r="C589" s="2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2"/>
      <c r="C590" s="2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2"/>
      <c r="C591" s="2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2"/>
      <c r="C592" s="2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2"/>
      <c r="C593" s="2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2"/>
      <c r="C594" s="2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2"/>
      <c r="C595" s="2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2"/>
      <c r="C596" s="2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2"/>
      <c r="C597" s="2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2"/>
      <c r="C598" s="2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2"/>
      <c r="C599" s="2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2"/>
      <c r="C600" s="2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2"/>
      <c r="C601" s="2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2"/>
      <c r="C602" s="2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2"/>
      <c r="C603" s="2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2"/>
      <c r="C604" s="2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2"/>
      <c r="C605" s="2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2"/>
      <c r="C606" s="2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2"/>
      <c r="C607" s="2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2"/>
      <c r="C608" s="2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2"/>
      <c r="C609" s="2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2"/>
      <c r="C610" s="2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2"/>
      <c r="C611" s="2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2"/>
      <c r="C612" s="2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2"/>
      <c r="C613" s="2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2"/>
      <c r="C614" s="2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2"/>
      <c r="C615" s="2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2"/>
      <c r="C616" s="2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2"/>
      <c r="C617" s="2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2"/>
      <c r="C618" s="2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2"/>
      <c r="C619" s="2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2"/>
      <c r="C620" s="2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2"/>
      <c r="C621" s="2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2"/>
      <c r="C622" s="2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2"/>
      <c r="C623" s="2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2"/>
      <c r="C624" s="2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2"/>
      <c r="C625" s="2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2"/>
      <c r="C626" s="2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2"/>
      <c r="C627" s="2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2"/>
      <c r="C628" s="2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2"/>
      <c r="C629" s="2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2"/>
      <c r="C630" s="2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2"/>
      <c r="C631" s="2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2"/>
      <c r="C632" s="2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2"/>
      <c r="C633" s="2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2"/>
      <c r="C634" s="2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2"/>
      <c r="C635" s="2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2"/>
      <c r="C636" s="2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2"/>
      <c r="C637" s="2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2"/>
      <c r="C638" s="2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2"/>
      <c r="C639" s="2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2"/>
      <c r="C640" s="2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2"/>
      <c r="C641" s="2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2"/>
      <c r="C642" s="2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2"/>
      <c r="C643" s="2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2"/>
      <c r="C644" s="2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2"/>
      <c r="C645" s="2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2"/>
      <c r="C646" s="2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2"/>
      <c r="C647" s="2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2"/>
      <c r="C648" s="2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2"/>
      <c r="C649" s="2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2"/>
      <c r="C650" s="2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2"/>
      <c r="C651" s="2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2"/>
      <c r="C652" s="2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2"/>
      <c r="C653" s="2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2"/>
      <c r="C654" s="2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2"/>
      <c r="C655" s="2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2"/>
      <c r="C656" s="2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2"/>
      <c r="C657" s="2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2"/>
      <c r="C658" s="2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2"/>
      <c r="C659" s="2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2"/>
      <c r="C660" s="2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2"/>
      <c r="C661" s="2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2"/>
      <c r="C662" s="2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2"/>
      <c r="C663" s="2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2"/>
      <c r="C664" s="2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2"/>
      <c r="C665" s="2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2"/>
      <c r="C666" s="2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2"/>
      <c r="C667" s="2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2"/>
      <c r="C668" s="2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2"/>
      <c r="C669" s="2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2"/>
      <c r="C670" s="2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2"/>
      <c r="C671" s="2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2"/>
      <c r="C672" s="2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2"/>
      <c r="C673" s="2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2"/>
      <c r="C674" s="2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2"/>
      <c r="C675" s="2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2"/>
      <c r="C676" s="2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2"/>
      <c r="C677" s="2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2"/>
      <c r="C678" s="2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2"/>
      <c r="C679" s="2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2"/>
      <c r="C680" s="2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2"/>
      <c r="C681" s="2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2"/>
      <c r="C682" s="2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2"/>
      <c r="C683" s="2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2"/>
      <c r="C684" s="2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2"/>
      <c r="C685" s="2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2"/>
      <c r="C686" s="2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2"/>
      <c r="C687" s="2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2"/>
      <c r="C688" s="2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2"/>
      <c r="C689" s="2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2"/>
      <c r="C690" s="2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2"/>
      <c r="C691" s="2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2"/>
      <c r="C692" s="2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2"/>
      <c r="C693" s="2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2"/>
      <c r="C694" s="2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2"/>
      <c r="C695" s="2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2"/>
      <c r="C696" s="2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2"/>
      <c r="C697" s="2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2"/>
      <c r="C698" s="2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2"/>
      <c r="C699" s="2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2"/>
      <c r="C700" s="2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2"/>
      <c r="C701" s="2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2"/>
      <c r="C702" s="2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2"/>
      <c r="C703" s="2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2"/>
      <c r="C704" s="2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2"/>
      <c r="C705" s="2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2"/>
      <c r="C706" s="2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2"/>
      <c r="C707" s="2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2"/>
      <c r="C708" s="2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2"/>
      <c r="C709" s="2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2"/>
      <c r="C710" s="2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2"/>
      <c r="C711" s="2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2"/>
      <c r="C712" s="2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2"/>
      <c r="C713" s="2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2"/>
      <c r="C714" s="2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2"/>
      <c r="C715" s="2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2"/>
      <c r="C716" s="2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2"/>
      <c r="C717" s="2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2"/>
      <c r="C718" s="2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2"/>
      <c r="C719" s="2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2"/>
      <c r="C720" s="2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2"/>
      <c r="C721" s="2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2"/>
      <c r="C722" s="2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2"/>
      <c r="C723" s="2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2"/>
      <c r="C724" s="2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2"/>
      <c r="C725" s="2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2"/>
      <c r="C726" s="2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2"/>
      <c r="C727" s="2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2"/>
      <c r="C728" s="2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2"/>
      <c r="C729" s="2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2"/>
      <c r="C730" s="2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2"/>
      <c r="C731" s="2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2"/>
      <c r="C732" s="2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2"/>
      <c r="C733" s="2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2"/>
      <c r="C734" s="2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2"/>
      <c r="C735" s="2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2"/>
      <c r="C736" s="2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2"/>
      <c r="C737" s="2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2"/>
      <c r="C738" s="2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2"/>
      <c r="C739" s="2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2"/>
      <c r="C740" s="2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2"/>
      <c r="C741" s="2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2"/>
      <c r="C742" s="2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2"/>
      <c r="C743" s="2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2"/>
      <c r="C744" s="2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2"/>
      <c r="C745" s="2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2"/>
      <c r="C746" s="2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2"/>
      <c r="C747" s="2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2"/>
      <c r="C748" s="2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2"/>
      <c r="C749" s="2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2"/>
      <c r="C750" s="2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2"/>
      <c r="C751" s="2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2"/>
      <c r="C752" s="2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2"/>
      <c r="C753" s="2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2"/>
      <c r="C754" s="2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2"/>
      <c r="C755" s="2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2"/>
      <c r="C756" s="2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2"/>
      <c r="C757" s="2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2"/>
      <c r="C758" s="2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2"/>
      <c r="C759" s="2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2"/>
      <c r="C760" s="2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2"/>
      <c r="C761" s="2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2"/>
      <c r="C762" s="2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2"/>
      <c r="C763" s="2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2"/>
      <c r="C764" s="2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2"/>
      <c r="C765" s="2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2"/>
      <c r="C766" s="2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2"/>
      <c r="C767" s="2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2"/>
      <c r="C768" s="2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2"/>
      <c r="C769" s="2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2"/>
      <c r="C770" s="2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2"/>
      <c r="C771" s="2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2"/>
      <c r="C772" s="2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2"/>
      <c r="C773" s="2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2"/>
      <c r="C774" s="2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2"/>
      <c r="C775" s="2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2"/>
      <c r="C776" s="2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2"/>
      <c r="C777" s="2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2"/>
      <c r="C778" s="2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2"/>
      <c r="C779" s="2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2"/>
      <c r="C780" s="2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2"/>
      <c r="C781" s="2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2"/>
      <c r="C782" s="2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2"/>
      <c r="C783" s="2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2"/>
      <c r="C784" s="2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2"/>
      <c r="C785" s="2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2"/>
      <c r="C786" s="2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2"/>
      <c r="C787" s="2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2"/>
      <c r="C788" s="2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2"/>
      <c r="C789" s="2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2"/>
      <c r="C790" s="2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2"/>
      <c r="C791" s="2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2"/>
      <c r="C792" s="2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2"/>
      <c r="C793" s="2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2"/>
      <c r="C794" s="2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2"/>
      <c r="C795" s="2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2"/>
      <c r="C796" s="2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2"/>
      <c r="C797" s="2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2"/>
      <c r="C798" s="2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2"/>
      <c r="C799" s="2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2"/>
      <c r="C800" s="2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2"/>
      <c r="C801" s="2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2"/>
      <c r="C802" s="2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2"/>
      <c r="C803" s="2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2"/>
      <c r="C804" s="2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2"/>
      <c r="C805" s="2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2"/>
      <c r="C806" s="2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2"/>
      <c r="C807" s="2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2"/>
      <c r="C808" s="2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2"/>
      <c r="C809" s="2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2"/>
      <c r="C810" s="2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2"/>
      <c r="C811" s="2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2"/>
      <c r="C812" s="2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2"/>
      <c r="C813" s="2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2"/>
      <c r="C814" s="2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2"/>
      <c r="C815" s="2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2"/>
      <c r="C816" s="2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2"/>
      <c r="C817" s="2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2"/>
      <c r="C818" s="2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2"/>
      <c r="C819" s="2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2"/>
      <c r="C820" s="2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2"/>
      <c r="C821" s="2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2"/>
      <c r="C822" s="2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2"/>
      <c r="C823" s="2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2"/>
      <c r="C824" s="2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2"/>
      <c r="C825" s="2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2"/>
      <c r="C826" s="2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2"/>
      <c r="C827" s="2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2"/>
      <c r="C828" s="2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2"/>
      <c r="C829" s="2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2"/>
      <c r="C830" s="2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2"/>
      <c r="C831" s="2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2"/>
      <c r="C832" s="2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2"/>
      <c r="C833" s="2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2"/>
      <c r="C834" s="2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2"/>
      <c r="C835" s="2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2"/>
      <c r="C836" s="2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2"/>
      <c r="C837" s="2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2"/>
      <c r="C838" s="2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2"/>
      <c r="C839" s="2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2"/>
      <c r="C840" s="2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2"/>
      <c r="C841" s="2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2"/>
      <c r="C842" s="2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2"/>
      <c r="C843" s="2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2"/>
      <c r="C844" s="2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2"/>
      <c r="C845" s="2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2"/>
      <c r="C846" s="2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2"/>
      <c r="C847" s="2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2"/>
      <c r="C848" s="2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2"/>
      <c r="C849" s="2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2"/>
      <c r="C850" s="2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2"/>
      <c r="C851" s="2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2"/>
      <c r="C852" s="2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2"/>
      <c r="C853" s="2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2"/>
      <c r="C854" s="2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2"/>
      <c r="C855" s="2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2"/>
      <c r="C856" s="2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2"/>
      <c r="C857" s="2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2"/>
      <c r="C858" s="2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2"/>
      <c r="C859" s="2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2"/>
      <c r="C860" s="2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2"/>
      <c r="C861" s="2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2"/>
      <c r="C862" s="2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2"/>
      <c r="C863" s="2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2"/>
      <c r="C864" s="2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2"/>
      <c r="C865" s="2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2"/>
      <c r="C866" s="2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2"/>
      <c r="C867" s="2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2"/>
      <c r="C868" s="2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2"/>
      <c r="C869" s="2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2"/>
      <c r="C870" s="2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2"/>
      <c r="C871" s="2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2"/>
      <c r="C872" s="2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2"/>
      <c r="C873" s="2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2"/>
      <c r="C874" s="2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2"/>
      <c r="C875" s="2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2"/>
      <c r="C876" s="2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2"/>
      <c r="C877" s="2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2"/>
      <c r="C878" s="2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2"/>
      <c r="C879" s="2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2"/>
      <c r="C880" s="2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2"/>
      <c r="C881" s="2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2"/>
      <c r="C882" s="2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2"/>
      <c r="C883" s="2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2"/>
      <c r="C884" s="2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2"/>
      <c r="C885" s="2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2"/>
      <c r="C886" s="2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2"/>
      <c r="C887" s="2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2"/>
      <c r="C888" s="2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2"/>
      <c r="C889" s="2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2"/>
      <c r="C890" s="2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2"/>
      <c r="C891" s="2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2"/>
      <c r="C892" s="2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2"/>
      <c r="C893" s="2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2"/>
      <c r="C894" s="2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2"/>
      <c r="C895" s="2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2"/>
      <c r="C896" s="2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2"/>
      <c r="C897" s="2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2"/>
      <c r="C898" s="2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2"/>
      <c r="C899" s="2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2"/>
      <c r="C900" s="2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2"/>
      <c r="C901" s="2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2"/>
      <c r="C902" s="2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2"/>
      <c r="C903" s="2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2"/>
      <c r="C904" s="2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2"/>
      <c r="C905" s="2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2"/>
      <c r="C906" s="2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2"/>
      <c r="C907" s="2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2"/>
      <c r="C908" s="2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2"/>
      <c r="C909" s="2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2"/>
      <c r="C910" s="2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2"/>
      <c r="C911" s="2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2"/>
      <c r="C912" s="2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2"/>
      <c r="C913" s="2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2"/>
      <c r="C914" s="2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2"/>
      <c r="C915" s="2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2"/>
      <c r="C916" s="2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2"/>
      <c r="C917" s="2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2"/>
      <c r="C918" s="2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2"/>
      <c r="C919" s="2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2"/>
      <c r="C920" s="2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2"/>
      <c r="C921" s="2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2"/>
      <c r="C922" s="2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2"/>
      <c r="C923" s="2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2"/>
      <c r="C924" s="2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2"/>
      <c r="C925" s="2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2"/>
      <c r="C926" s="2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2"/>
      <c r="C927" s="2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2"/>
      <c r="C928" s="2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2"/>
      <c r="C929" s="2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2"/>
      <c r="C930" s="2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2"/>
      <c r="C931" s="2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2"/>
      <c r="C932" s="2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2"/>
      <c r="C933" s="2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2"/>
      <c r="C934" s="2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2"/>
      <c r="C935" s="2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2"/>
      <c r="C936" s="2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2"/>
      <c r="C937" s="2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2"/>
      <c r="C938" s="2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2"/>
      <c r="C939" s="2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2"/>
      <c r="C940" s="2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2"/>
      <c r="C941" s="2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2"/>
      <c r="C942" s="2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2"/>
      <c r="C943" s="2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2"/>
      <c r="C944" s="2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2"/>
      <c r="C945" s="2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2"/>
      <c r="C946" s="2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2"/>
      <c r="C947" s="2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2"/>
      <c r="C948" s="2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2"/>
      <c r="C949" s="2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2"/>
      <c r="C950" s="2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2"/>
      <c r="C951" s="2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2"/>
      <c r="C952" s="2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2"/>
      <c r="C953" s="2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2"/>
      <c r="C954" s="2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2"/>
      <c r="C955" s="2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2"/>
      <c r="C956" s="2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2"/>
      <c r="C957" s="2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2"/>
      <c r="C958" s="2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2"/>
      <c r="C959" s="2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2"/>
      <c r="C960" s="2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2"/>
      <c r="C961" s="2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2"/>
      <c r="C962" s="2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2"/>
      <c r="C963" s="2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2"/>
      <c r="C964" s="2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2"/>
      <c r="C965" s="2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2"/>
      <c r="C966" s="2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2"/>
      <c r="C967" s="2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2"/>
      <c r="C968" s="2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2"/>
      <c r="C969" s="2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2"/>
      <c r="C970" s="2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2"/>
      <c r="C971" s="2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2"/>
      <c r="C972" s="2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2"/>
      <c r="C973" s="2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2"/>
      <c r="C974" s="2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2"/>
      <c r="C975" s="2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2"/>
      <c r="C976" s="2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2"/>
      <c r="C977" s="2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2"/>
      <c r="C978" s="2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2"/>
      <c r="C979" s="2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2"/>
      <c r="C980" s="2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2"/>
      <c r="C981" s="2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2"/>
      <c r="C982" s="2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2"/>
      <c r="C983" s="2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2"/>
      <c r="C984" s="2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2"/>
      <c r="C985" s="2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2"/>
      <c r="C986" s="2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2"/>
      <c r="C987" s="2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2"/>
      <c r="C988" s="2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2"/>
      <c r="C989" s="2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2"/>
      <c r="C990" s="2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2"/>
      <c r="C991" s="2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2"/>
      <c r="C992" s="2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2"/>
      <c r="C993" s="2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2"/>
      <c r="C994" s="2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2"/>
      <c r="C995" s="2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2"/>
      <c r="C996" s="2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2"/>
      <c r="C997" s="2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2"/>
      <c r="C998" s="2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2"/>
      <c r="C999" s="2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2"/>
      <c r="C1000" s="2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2026-04-23T04:44:33Z</dcterms:created>
  <dc:creator>Sing Him Yu</dc:creator>
</cp:coreProperties>
</file>